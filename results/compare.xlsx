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dockDoors\results\"/>
    </mc:Choice>
  </mc:AlternateContent>
  <xr:revisionPtr revIDLastSave="0" documentId="13_ncr:1_{F12A8F6E-A778-4971-B737-0805ED07C353}" xr6:coauthVersionLast="47" xr6:coauthVersionMax="47" xr10:uidLastSave="{00000000-0000-0000-0000-000000000000}"/>
  <bookViews>
    <workbookView xWindow="3105" yWindow="420" windowWidth="24360" windowHeight="14385" xr2:uid="{B1ED28F4-359B-4160-9E0D-79F2F8C95AB2}"/>
  </bookViews>
  <sheets>
    <sheet name="F2-F3" sheetId="1" r:id="rId1"/>
    <sheet name="tilt-unti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  <c r="D21" i="1"/>
  <c r="D16" i="1"/>
  <c r="D19" i="1"/>
  <c r="D18" i="1"/>
  <c r="D17" i="1"/>
</calcChain>
</file>

<file path=xl/sharedStrings.xml><?xml version="1.0" encoding="utf-8"?>
<sst xmlns="http://schemas.openxmlformats.org/spreadsheetml/2006/main" count="22" uniqueCount="19">
  <si>
    <t>num. Instances</t>
  </si>
  <si>
    <t>num scenarios</t>
  </si>
  <si>
    <t>num. Infeasible</t>
  </si>
  <si>
    <t>avg.cost</t>
  </si>
  <si>
    <t>num scen</t>
  </si>
  <si>
    <t>num jobs</t>
  </si>
  <si>
    <t>omega</t>
  </si>
  <si>
    <t>j</t>
  </si>
  <si>
    <t>num areas</t>
  </si>
  <si>
    <t>i</t>
  </si>
  <si>
    <t>num pos</t>
  </si>
  <si>
    <t>k</t>
  </si>
  <si>
    <t>t</t>
  </si>
  <si>
    <t>x</t>
  </si>
  <si>
    <t>y</t>
  </si>
  <si>
    <t>c</t>
  </si>
  <si>
    <t>constr</t>
  </si>
  <si>
    <t>z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</si>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</sst>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A4C1-08D4-41F6-80BE-EC4AC2E33E64}">
  <dimension ref="B2:H21"/>
  <sheetViews>
    <sheetView tabSelected="1" workbookViewId="0">
      <selection activeCell="O26" sqref="O26"/>
    </sheetView>
  </sheetViews>
  <sheetFormatPr defaultRowHeight="15" x14ac:dyDescent="0.25"/>
  <cols>
    <col min="2" max="2" width="14.42578125" bestFit="1" customWidth="1"/>
  </cols>
  <sheetData>
    <row r="2" spans="2:8" x14ac:dyDescent="0.25">
      <c r="B2" t="s">
        <v>0</v>
      </c>
    </row>
    <row r="3" spans="2:8" x14ac:dyDescent="0.25">
      <c r="B3" t="s">
        <v>1</v>
      </c>
    </row>
    <row r="4" spans="2:8" x14ac:dyDescent="0.25">
      <c r="B4" t="s">
        <v>2</v>
      </c>
    </row>
    <row r="5" spans="2:8" x14ac:dyDescent="0.25">
      <c r="B5" t="s">
        <v>3</v>
      </c>
    </row>
    <row r="11" spans="2:8" x14ac:dyDescent="0.25">
      <c r="B11" t="s">
        <v>6</v>
      </c>
      <c r="C11" t="s">
        <v>4</v>
      </c>
      <c r="D11">
        <v>75</v>
      </c>
    </row>
    <row r="12" spans="2:8" x14ac:dyDescent="0.25">
      <c r="B12" t="s">
        <v>7</v>
      </c>
      <c r="C12" t="s">
        <v>5</v>
      </c>
      <c r="D12">
        <v>200</v>
      </c>
    </row>
    <row r="13" spans="2:8" x14ac:dyDescent="0.25">
      <c r="B13" t="s">
        <v>9</v>
      </c>
      <c r="C13" t="s">
        <v>8</v>
      </c>
      <c r="D13">
        <v>33</v>
      </c>
    </row>
    <row r="14" spans="2:8" x14ac:dyDescent="0.25">
      <c r="B14" t="s">
        <v>11</v>
      </c>
      <c r="C14" t="s">
        <v>10</v>
      </c>
      <c r="D14">
        <v>10</v>
      </c>
    </row>
    <row r="16" spans="2:8" x14ac:dyDescent="0.25">
      <c r="C16" t="s">
        <v>12</v>
      </c>
      <c r="D16">
        <f>D13*D11*D14</f>
        <v>24750</v>
      </c>
      <c r="G16" t="s">
        <v>12</v>
      </c>
      <c r="H16">
        <f>D11*D12</f>
        <v>15000</v>
      </c>
    </row>
    <row r="17" spans="3:8" x14ac:dyDescent="0.25">
      <c r="C17" t="s">
        <v>13</v>
      </c>
      <c r="D17">
        <f>D12*D13*D14</f>
        <v>66000</v>
      </c>
      <c r="G17" t="s">
        <v>13</v>
      </c>
      <c r="H17">
        <f>D12*D13</f>
        <v>6600</v>
      </c>
    </row>
    <row r="18" spans="3:8" x14ac:dyDescent="0.25">
      <c r="C18" t="s">
        <v>14</v>
      </c>
      <c r="D18">
        <f>D13*D14</f>
        <v>330</v>
      </c>
      <c r="G18" t="s">
        <v>17</v>
      </c>
      <c r="H18">
        <f>D12*D12</f>
        <v>40000</v>
      </c>
    </row>
    <row r="19" spans="3:8" x14ac:dyDescent="0.25">
      <c r="C19" t="s">
        <v>15</v>
      </c>
      <c r="D19">
        <f>D11*D13*D14</f>
        <v>24750</v>
      </c>
      <c r="G19" t="s">
        <v>15</v>
      </c>
      <c r="H19">
        <f>D11*D12</f>
        <v>15000</v>
      </c>
    </row>
    <row r="20" spans="3:8" x14ac:dyDescent="0.25">
      <c r="G20" t="s">
        <v>18</v>
      </c>
      <c r="H20">
        <f>D11*D12</f>
        <v>15000</v>
      </c>
    </row>
    <row r="21" spans="3:8" x14ac:dyDescent="0.25">
      <c r="C21" t="s">
        <v>16</v>
      </c>
      <c r="D21">
        <f>2*D11*D13*D14+D13*D14+D12</f>
        <v>50030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B51B-6631-4614-A684-2E9DBB106E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F2-F3</vt:lpstr>
      <vt:lpstr>tilt-untilt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2026-10-21T09:53:55Z</dcterms:created>
  <dcterms:modified xsi:type="dcterms:W3CDTF">2026-10-21T10:15:28Z</dcterms:modified>
</cp:coreProperties>
</file>